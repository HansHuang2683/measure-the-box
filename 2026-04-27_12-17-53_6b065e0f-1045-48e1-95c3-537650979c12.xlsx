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下载\"/>
    </mc:Choice>
  </mc:AlternateContent>
  <xr:revisionPtr revIDLastSave="0" documentId="13_ncr:1_{853A2856-D659-4181-8F85-8EC30108BC64}" xr6:coauthVersionLast="47" xr6:coauthVersionMax="47" xr10:uidLastSave="{00000000-0000-0000-0000-000000000000}"/>
  <workbookProtection lockStructure="1"/>
  <bookViews>
    <workbookView xWindow="-102" yWindow="-102" windowWidth="32924" windowHeight="17885" activeTab="1" xr2:uid="{00000000-000D-0000-FFFF-FFFF00000000}"/>
  </bookViews>
  <sheets>
    <sheet name="说明" sheetId="1" r:id="rId1"/>
    <sheet name="包装箱包装信息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" i="2" l="1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K10" i="2"/>
  <c r="K9" i="2"/>
  <c r="K8" i="2"/>
  <c r="K7" i="2"/>
  <c r="K6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</calcChain>
</file>

<file path=xl/sharedStrings.xml><?xml version="1.0" encoding="utf-8"?>
<sst xmlns="http://schemas.openxmlformats.org/spreadsheetml/2006/main" count="84" uniqueCount="70">
  <si>
    <t>如何使用 Excel 文件上传箱内物品信息</t>
  </si>
  <si>
    <t>第 1 步 – 核对包装箱总数</t>
  </si>
  <si>
    <t>Excel 文件中的“总箱数”字段将自动填充您在 Send to Amazon 中为各装箱组输入的数量。此数值只是预计值，在上传此文件之前，可随时增减最多 10 箱。
货件中的每个包装箱均标注编号（1 号箱、2 号箱等），并在工作流程中显示为一列。如果您更新总箱数，列数也将自动随之更新。</t>
  </si>
  <si>
    <t>第 2 步 – 提供箱内物品信息</t>
  </si>
  <si>
    <t>装箱组中的每个 SKU 都将显示在工作流程的一行中。对于每个包装箱，请分别输入箱内每个 SKU 的商品数量。“装箱数量”字段显示您输入的当前商品数量。在您输入的商品数量与此货件的预期商品数量匹配之前，该字段将一直保持为红色。</t>
  </si>
  <si>
    <t>第 3 步 – 提供包装箱重量和尺寸</t>
  </si>
  <si>
    <t>为装箱组中的每个包装箱输入重量和尺寸</t>
  </si>
  <si>
    <t>第 4 步 – 保存并上传</t>
  </si>
  <si>
    <t>填写 Excel 电子表格后，可以通过 .xlsx 文件格式上传至卖家平台</t>
  </si>
  <si>
    <t>请在下方提供此装箱组的包装箱详情。如果您有任何疑问，请参阅说明表。</t>
  </si>
  <si>
    <t>装箱组：1</t>
  </si>
  <si>
    <t>pgcceae348-ae08-4b40-a343-6ce0d424c4a3</t>
  </si>
  <si>
    <t>SKU 总数：5（252 件商品）</t>
  </si>
  <si>
    <t>包装箱总数：</t>
  </si>
  <si>
    <t>SKU</t>
  </si>
  <si>
    <t xml:space="preserve">商品名称 </t>
  </si>
  <si>
    <t>Id</t>
  </si>
  <si>
    <t>ASIN</t>
  </si>
  <si>
    <t>FNSKU</t>
  </si>
  <si>
    <t>状况</t>
  </si>
  <si>
    <t>预处理类型</t>
  </si>
  <si>
    <t>商品预处理方是谁？</t>
  </si>
  <si>
    <t>商品贴标方是谁？</t>
  </si>
  <si>
    <t>预计数量</t>
  </si>
  <si>
    <t>装箱数量</t>
  </si>
  <si>
    <t>BR-ICE-DRAGON-FBA</t>
  </si>
  <si>
    <t>MOCSNAIL Mechanical Ice Dragon Building Set, 1646 Pieces Large Fantasy Model Kit with Articulated Flapping Wings, Blue Mythical Creature Decor for TV Series Fans Compatible with Major Brands</t>
  </si>
  <si>
    <t>pk183e8b71-59db-42d2-8c0a-ac31ad0ab446</t>
  </si>
  <si>
    <t>B0GD7PW5R3</t>
  </si>
  <si>
    <t>X004YR5C63</t>
  </si>
  <si>
    <t>NewItem</t>
  </si>
  <si>
    <t>贴标,无需进行预处理</t>
  </si>
  <si>
    <t>由卖家提供</t>
  </si>
  <si>
    <t>BR-STEAM-SUB-FBA</t>
  </si>
  <si>
    <t>MOCSNAIL Steampunk Nautilus Submarine Building Set with Giant Octopus Display Stand, Retro Mechanical Undersea Adventure Model Kit for Adults, Desk Decor Compatible with Major Brick Brands</t>
  </si>
  <si>
    <t>pkbe585f0a-f1d7-4bf3-b6d7-336aa6d37323</t>
  </si>
  <si>
    <t>B0GC4DC492</t>
  </si>
  <si>
    <t>X004YR72BV</t>
  </si>
  <si>
    <t>贴标</t>
  </si>
  <si>
    <t/>
  </si>
  <si>
    <t>MOC-Double-SafeLocker</t>
  </si>
  <si>
    <t>Safe Locker Building Blocks Set, Compatible with LEGO City Bank Series, Double Layer Safe Store Rare Treasure Accessories Money, Gems Diamonds, Gold Silver Bars, Crystals, Bill Bricks</t>
  </si>
  <si>
    <t>pkf73670e3-ed6e-4137-a4ed-071a8ffa751e</t>
  </si>
  <si>
    <t>B0DQ4JKXW9</t>
  </si>
  <si>
    <t>X004I53X2L</t>
  </si>
  <si>
    <t>无需进行预处理,贴标</t>
  </si>
  <si>
    <t>MOC-Heavy-SafeLocker</t>
  </si>
  <si>
    <t>Safe Locker Building Blocks Set, Heavy Soild Layer Safe Store Rare Treasure Accessories Money, Compatible with LEGO City Bank Series, Gems Diamonds, Gold Silver Bars, Crystals, Bill Bricks</t>
  </si>
  <si>
    <t>pkffa9572b-8762-4446-974a-eb75c91f28a7</t>
  </si>
  <si>
    <t>B0DQ4Z9HYN</t>
  </si>
  <si>
    <t>X004I51GIJ</t>
  </si>
  <si>
    <t>MOC-Single-SafeLocker</t>
  </si>
  <si>
    <t>Safe Locker Building Blocks Set, Single Layer Safe Store Rare Treasure Accessories Money, Compatible with LEGO City Bank Series, Gems Diamonds, Gold Silver Bars, Crystals, Bill Bricks</t>
  </si>
  <si>
    <t>pk6c12a4a9-7c1b-45ae-8b86-fe001104c21b</t>
  </si>
  <si>
    <t>B0DQ4MVT4D</t>
  </si>
  <si>
    <t>X004I50CED</t>
  </si>
  <si>
    <t>包装箱名称</t>
  </si>
  <si>
    <t>包装箱重量（磅）：</t>
  </si>
  <si>
    <t>包装箱宽度（英寸）：</t>
  </si>
  <si>
    <t>包装箱长度（英寸）：</t>
  </si>
  <si>
    <t>包装箱高度（英寸）：</t>
  </si>
  <si>
    <t>Locale</t>
  </si>
  <si>
    <t>zh_CN</t>
  </si>
  <si>
    <t>Weight unit</t>
  </si>
  <si>
    <t>lb</t>
  </si>
  <si>
    <t>Length unit</t>
  </si>
  <si>
    <t>in</t>
  </si>
  <si>
    <t>Version</t>
  </si>
  <si>
    <t>1.1</t>
  </si>
  <si>
    <t>Number of packing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</si>
</sst>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2" x14ac:knownFonts="1">
    <font>
      <sz val="11"/>
      <color indexed="8"/>
      <name val="等线"/>
      <family val="2"/>
      <scheme val="minor"/>
    </font>
    <font>
      <sz val="20"/>
      <name val="Calibri"/>
    </font>
    <font>
      <b/>
      <sz val="14"/>
      <name val="Calibri"/>
    </font>
    <font>
      <sz val="13"/>
      <name val="Calibri"/>
    </font>
    <font>
      <b/>
      <sz val="14"/>
      <name val="Calibri"/>
    </font>
    <font>
      <sz val="13"/>
      <name val="Calibri"/>
    </font>
    <font>
      <b/>
      <sz val="14"/>
      <name val="Calibri"/>
    </font>
    <font>
      <sz val="13"/>
      <name val="Calibri"/>
    </font>
    <font>
      <b/>
      <sz val="14"/>
      <name val="Calibri"/>
    </font>
    <font>
      <sz val="1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14"/>
      <color indexed="53"/>
      <name val="Calibri"/>
    </font>
    <font>
      <sz val="24"/>
      <name val="Calibri"/>
    </font>
    <font>
      <sz val="24"/>
      <name val="Calibri"/>
    </font>
    <font>
      <sz val="18"/>
      <name val="Calibri"/>
    </font>
    <font>
      <sz val="18"/>
      <name val="Calibri"/>
    </font>
    <font>
      <sz val="18"/>
      <name val="Calibri"/>
    </font>
    <font>
      <sz val="18"/>
      <name val="Calibri"/>
    </font>
    <font>
      <sz val="18"/>
      <name val="Calibri"/>
    </font>
    <font>
      <sz val="18"/>
      <name val="Calibri"/>
    </font>
    <font>
      <sz val="18"/>
      <name val="Calibri"/>
    </font>
    <font>
      <b/>
      <sz val="18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23"/>
      </patternFill>
    </fill>
  </fills>
  <borders count="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0" fillId="0" borderId="0" xfId="0" applyAlignment="1">
      <alignment horizontal="left"/>
    </xf>
    <xf numFmtId="0" fontId="31" fillId="3" borderId="0" xfId="0" applyFont="1" applyFill="1" applyAlignment="1" applyProtection="1">
      <alignment horizontal="center"/>
      <protection locked="0"/>
    </xf>
    <xf numFmtId="0" fontId="0" fillId="4" borderId="0" xfId="0" applyFill="1"/>
    <xf numFmtId="0" fontId="32" fillId="2" borderId="0" xfId="0" applyFont="1" applyFill="1"/>
    <xf numFmtId="0" fontId="0" fillId="0" borderId="0" xfId="0" applyProtection="1">
      <protection locked="0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0" fillId="4" borderId="0" xfId="0" applyFill="1" applyAlignment="1"/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72" fillId="0" borderId="0" xfId="0" applyFont="1" applyAlignment="1">
      <alignment horizontal="right"/>
    </xf>
    <xf numFmtId="0" fontId="73" fillId="0" borderId="0" xfId="0" applyFont="1" applyAlignment="1">
      <alignment horizontal="right"/>
    </xf>
    <xf numFmtId="0" fontId="74" fillId="0" borderId="0" xfId="0" applyFont="1" applyAlignment="1">
      <alignment horizontal="right"/>
    </xf>
    <xf numFmtId="0" fontId="75" fillId="0" borderId="0" xfId="0" applyFont="1" applyAlignment="1">
      <alignment horizontal="right"/>
    </xf>
    <xf numFmtId="0" fontId="76" fillId="0" borderId="0" xfId="0" applyFont="1" applyAlignment="1">
      <alignment horizontal="right"/>
    </xf>
    <xf numFmtId="0" fontId="77" fillId="0" borderId="0" xfId="0" applyFont="1" applyAlignment="1">
      <alignment horizontal="right"/>
    </xf>
    <xf numFmtId="0" fontId="78" fillId="0" borderId="0" xfId="0" applyFont="1" applyAlignment="1">
      <alignment horizontal="right"/>
    </xf>
    <xf numFmtId="0" fontId="79" fillId="0" borderId="0" xfId="0" applyFont="1" applyAlignment="1">
      <alignment horizontal="right"/>
    </xf>
    <xf numFmtId="0" fontId="80" fillId="0" borderId="0" xfId="0" applyFont="1" applyAlignment="1">
      <alignment horizontal="right"/>
    </xf>
    <xf numFmtId="0" fontId="81" fillId="0" borderId="0" xfId="0" applyFont="1" applyAlignment="1">
      <alignment horizontal="right"/>
    </xf>
    <xf numFmtId="0" fontId="82" fillId="0" borderId="0" xfId="0" applyFont="1" applyAlignment="1">
      <alignment horizontal="right"/>
    </xf>
    <xf numFmtId="0" fontId="83" fillId="0" borderId="0" xfId="0" applyFont="1" applyAlignment="1">
      <alignment horizontal="right"/>
    </xf>
    <xf numFmtId="0" fontId="84" fillId="0" borderId="0" xfId="0" applyFont="1" applyAlignment="1">
      <alignment horizontal="right"/>
    </xf>
    <xf numFmtId="0" fontId="85" fillId="0" borderId="0" xfId="0" applyFont="1" applyAlignment="1">
      <alignment horizontal="right"/>
    </xf>
    <xf numFmtId="0" fontId="86" fillId="0" borderId="0" xfId="0" applyFont="1" applyAlignment="1">
      <alignment horizontal="right"/>
    </xf>
    <xf numFmtId="0" fontId="87" fillId="0" borderId="0" xfId="0" applyFont="1" applyAlignment="1">
      <alignment horizontal="right"/>
    </xf>
    <xf numFmtId="0" fontId="88" fillId="0" borderId="0" xfId="0" applyFont="1" applyAlignment="1">
      <alignment horizontal="right"/>
    </xf>
    <xf numFmtId="0" fontId="89" fillId="0" borderId="0" xfId="0" applyFont="1" applyAlignment="1">
      <alignment horizontal="right"/>
    </xf>
    <xf numFmtId="0" fontId="90" fillId="0" borderId="0" xfId="0" applyFont="1" applyAlignment="1">
      <alignment horizontal="right"/>
    </xf>
    <xf numFmtId="0" fontId="91" fillId="0" borderId="0" xfId="0" applyFont="1" applyAlignment="1">
      <alignment horizontal="right"/>
    </xf>
    <xf numFmtId="0" fontId="92" fillId="0" borderId="0" xfId="0" applyFont="1" applyAlignment="1">
      <alignment horizontal="right"/>
    </xf>
    <xf numFmtId="0" fontId="93" fillId="0" borderId="0" xfId="0" applyFont="1" applyAlignment="1">
      <alignment horizontal="right"/>
    </xf>
    <xf numFmtId="0" fontId="94" fillId="0" borderId="0" xfId="0" applyFont="1" applyAlignment="1">
      <alignment horizontal="right"/>
    </xf>
    <xf numFmtId="0" fontId="95" fillId="0" borderId="0" xfId="0" applyFont="1" applyAlignment="1">
      <alignment horizontal="right"/>
    </xf>
    <xf numFmtId="0" fontId="96" fillId="0" borderId="0" xfId="0" applyFont="1" applyAlignment="1">
      <alignment horizontal="right"/>
    </xf>
    <xf numFmtId="0" fontId="97" fillId="0" borderId="0" xfId="0" applyFont="1" applyAlignment="1">
      <alignment horizontal="right"/>
    </xf>
    <xf numFmtId="0" fontId="98" fillId="0" borderId="0" xfId="0" applyFont="1" applyAlignment="1">
      <alignment horizontal="right"/>
    </xf>
    <xf numFmtId="0" fontId="99" fillId="0" borderId="0" xfId="0" applyFont="1" applyAlignment="1">
      <alignment horizontal="right"/>
    </xf>
    <xf numFmtId="0" fontId="100" fillId="0" borderId="0" xfId="0" applyFont="1" applyAlignment="1">
      <alignment horizontal="right"/>
    </xf>
    <xf numFmtId="0" fontId="101" fillId="0" borderId="0" xfId="0" applyFont="1" applyAlignment="1">
      <alignment horizontal="right"/>
    </xf>
    <xf numFmtId="0" fontId="102" fillId="0" borderId="0" xfId="0" applyFont="1" applyAlignment="1">
      <alignment horizontal="right"/>
    </xf>
    <xf numFmtId="0" fontId="103" fillId="0" borderId="0" xfId="0" applyFont="1" applyAlignment="1">
      <alignment horizontal="right"/>
    </xf>
    <xf numFmtId="0" fontId="104" fillId="0" borderId="0" xfId="0" applyFont="1" applyAlignment="1">
      <alignment horizontal="right"/>
    </xf>
    <xf numFmtId="0" fontId="105" fillId="0" borderId="0" xfId="0" applyFont="1" applyAlignment="1">
      <alignment horizontal="right"/>
    </xf>
    <xf numFmtId="0" fontId="106" fillId="0" borderId="0" xfId="0" applyFont="1" applyAlignment="1">
      <alignment horizontal="right"/>
    </xf>
    <xf numFmtId="0" fontId="107" fillId="0" borderId="0" xfId="0" applyFont="1" applyAlignment="1">
      <alignment horizontal="right"/>
    </xf>
    <xf numFmtId="0" fontId="108" fillId="0" borderId="0" xfId="0" applyFont="1" applyAlignment="1">
      <alignment horizontal="right"/>
    </xf>
    <xf numFmtId="0" fontId="109" fillId="0" borderId="0" xfId="0" applyFont="1" applyAlignment="1">
      <alignment horizontal="right"/>
    </xf>
    <xf numFmtId="0" fontId="110" fillId="0" borderId="0" xfId="0" applyFont="1" applyAlignment="1">
      <alignment horizontal="right"/>
    </xf>
    <xf numFmtId="0" fontId="111" fillId="0" borderId="0" xfId="0" applyFont="1" applyAlignment="1">
      <alignment horizontal="right"/>
    </xf>
    <xf numFmtId="0" fontId="112" fillId="0" borderId="0" xfId="0" applyFont="1" applyAlignment="1">
      <alignment horizontal="right"/>
    </xf>
    <xf numFmtId="0" fontId="113" fillId="0" borderId="0" xfId="0" applyFont="1" applyAlignment="1">
      <alignment horizontal="right"/>
    </xf>
    <xf numFmtId="0" fontId="114" fillId="0" borderId="0" xfId="0" applyFont="1" applyAlignment="1">
      <alignment horizontal="right"/>
    </xf>
    <xf numFmtId="0" fontId="115" fillId="0" borderId="0" xfId="0" applyFont="1" applyAlignment="1">
      <alignment horizontal="right"/>
    </xf>
    <xf numFmtId="0" fontId="116" fillId="0" borderId="0" xfId="0" applyFont="1" applyAlignment="1">
      <alignment horizontal="right"/>
    </xf>
    <xf numFmtId="0" fontId="117" fillId="0" borderId="0" xfId="0" applyFont="1" applyAlignment="1">
      <alignment horizontal="right"/>
    </xf>
    <xf numFmtId="0" fontId="118" fillId="0" borderId="0" xfId="0" applyFont="1" applyAlignment="1">
      <alignment horizontal="right"/>
    </xf>
    <xf numFmtId="0" fontId="119" fillId="0" borderId="0" xfId="0" applyFont="1" applyAlignment="1">
      <alignment horizontal="right"/>
    </xf>
    <xf numFmtId="0" fontId="0" fillId="0" borderId="0" xfId="0" applyAlignment="1" applyProtection="1">
      <protection locked="0"/>
    </xf>
    <xf numFmtId="0" fontId="120" fillId="0" borderId="0" xfId="0" applyFont="1" applyAlignment="1" applyProtection="1">
      <protection locked="0"/>
    </xf>
    <xf numFmtId="0" fontId="120" fillId="0" borderId="0" xfId="0" applyFont="1" applyAlignment="1" applyProtection="1">
      <alignment horizontal="right"/>
      <protection locked="0"/>
    </xf>
  </cellXfs>
  <cellStyles count="1">
    <cellStyle name="常规" xfId="0" builtinId="0"/>
  </cellStyles>
  <dxfs count="1">
    <dxf>
      <font>
        <color indexed="16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4.1" x14ac:dyDescent="0.35"/>
  <cols>
    <col min="1" max="1" width="120" customWidth="1"/>
  </cols>
  <sheetData>
    <row r="1" spans="1:1" ht="26" x14ac:dyDescent="0.7">
      <c r="A1" s="1" t="s">
        <v>0</v>
      </c>
    </row>
    <row r="2" spans="1:1" ht="18.350000000000001" x14ac:dyDescent="0.5">
      <c r="A2" s="2" t="s">
        <v>1</v>
      </c>
    </row>
    <row r="3" spans="1:1" ht="85.25" x14ac:dyDescent="0.45">
      <c r="A3" s="3" t="s">
        <v>2</v>
      </c>
    </row>
    <row r="4" spans="1:1" ht="18.350000000000001" x14ac:dyDescent="0.5">
      <c r="A4" s="4" t="s">
        <v>3</v>
      </c>
    </row>
    <row r="5" spans="1:1" ht="34.1" x14ac:dyDescent="0.45">
      <c r="A5" s="5" t="s">
        <v>4</v>
      </c>
    </row>
    <row r="6" spans="1:1" ht="18.350000000000001" x14ac:dyDescent="0.5">
      <c r="A6" s="6" t="s">
        <v>5</v>
      </c>
    </row>
    <row r="7" spans="1:1" ht="17.05" x14ac:dyDescent="0.45">
      <c r="A7" s="7" t="s">
        <v>6</v>
      </c>
    </row>
    <row r="8" spans="1:1" ht="18.350000000000001" x14ac:dyDescent="0.5">
      <c r="A8" s="8" t="s">
        <v>7</v>
      </c>
    </row>
    <row r="9" spans="1:1" ht="17.05" x14ac:dyDescent="0.45">
      <c r="A9" s="9" t="s">
        <v>8</v>
      </c>
    </row>
  </sheetData>
  <sheetProtection password="DFB5" sheet="1" objects="1" scenarios="1"/>
  <phoneticPr fontId="1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7"/>
  <sheetViews>
    <sheetView tabSelected="1" workbookViewId="0">
      <pane xSplit="2" ySplit="5" topLeftCell="I6" activePane="bottomRight" state="frozen"/>
      <selection pane="topRight"/>
      <selection pane="bottomLeft"/>
      <selection pane="bottomRight" activeCell="O20" sqref="O20"/>
    </sheetView>
  </sheetViews>
  <sheetFormatPr defaultRowHeight="14.1" x14ac:dyDescent="0.35"/>
  <cols>
    <col min="1" max="1" width="21" customWidth="1"/>
    <col min="2" max="2" width="61" customWidth="1"/>
    <col min="3" max="3" width="20" hidden="1" customWidth="1"/>
    <col min="4" max="5" width="21" customWidth="1"/>
    <col min="6" max="11" width="15" customWidth="1"/>
    <col min="12" max="12" width="1" customWidth="1"/>
    <col min="13" max="39" width="13" style="14" customWidth="1"/>
  </cols>
  <sheetData>
    <row r="1" spans="1:39" ht="18.350000000000001" x14ac:dyDescent="0.5">
      <c r="A1" s="42" t="s">
        <v>9</v>
      </c>
      <c r="B1" s="43"/>
      <c r="C1" s="44"/>
      <c r="D1" s="45"/>
      <c r="E1" s="46"/>
      <c r="F1" s="47"/>
      <c r="G1" s="48"/>
      <c r="H1" s="49"/>
      <c r="I1" s="50"/>
      <c r="J1" s="51"/>
      <c r="K1" s="52"/>
      <c r="L1" s="53"/>
    </row>
    <row r="2" spans="1:39" ht="30.7" x14ac:dyDescent="0.8">
      <c r="A2" s="54" t="s">
        <v>10</v>
      </c>
      <c r="B2" s="55"/>
      <c r="C2" s="10" t="s">
        <v>11</v>
      </c>
    </row>
    <row r="3" spans="1:39" ht="23" x14ac:dyDescent="0.6">
      <c r="A3" s="56" t="s">
        <v>12</v>
      </c>
      <c r="B3" s="57"/>
      <c r="C3" s="58"/>
      <c r="I3" s="59" t="s">
        <v>13</v>
      </c>
      <c r="J3" s="60"/>
      <c r="K3" s="61"/>
      <c r="L3" s="62"/>
      <c r="M3" s="11">
        <v>17</v>
      </c>
    </row>
    <row r="4" spans="1:39" ht="8" customHeight="1" x14ac:dyDescent="0.3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39" ht="15.8" x14ac:dyDescent="0.45">
      <c r="A5" s="13" t="s">
        <v>14</v>
      </c>
      <c r="B5" s="13" t="s">
        <v>15</v>
      </c>
      <c r="C5" s="13" t="s">
        <v>16</v>
      </c>
      <c r="D5" s="13" t="s">
        <v>17</v>
      </c>
      <c r="E5" s="13" t="s">
        <v>18</v>
      </c>
      <c r="F5" s="13" t="s">
        <v>19</v>
      </c>
      <c r="G5" s="13" t="s">
        <v>20</v>
      </c>
      <c r="H5" s="13" t="s">
        <v>21</v>
      </c>
      <c r="I5" s="13" t="s">
        <v>22</v>
      </c>
      <c r="J5" s="13" t="s">
        <v>23</v>
      </c>
      <c r="K5" s="13" t="s">
        <v>24</v>
      </c>
      <c r="L5" s="12"/>
      <c r="M5" s="13" t="str">
        <f>IF(M3&gt;=1,"包装箱 1 数量","")</f>
        <v>包装箱 1 数量</v>
      </c>
      <c r="N5" s="13" t="str">
        <f>IF(M3&gt;=2,"包装箱 2 数量","")</f>
        <v>包装箱 2 数量</v>
      </c>
      <c r="O5" s="13" t="str">
        <f>IF(M3&gt;=3,"包装箱 3 数量","")</f>
        <v>包装箱 3 数量</v>
      </c>
      <c r="P5" s="13" t="str">
        <f>IF(M3&gt;=4,"包装箱 4 数量","")</f>
        <v>包装箱 4 数量</v>
      </c>
      <c r="Q5" s="13" t="str">
        <f>IF(M3&gt;=5,"包装箱 5 数量","")</f>
        <v>包装箱 5 数量</v>
      </c>
      <c r="R5" s="13" t="str">
        <f>IF(M3&gt;=6,"包装箱 6 数量","")</f>
        <v>包装箱 6 数量</v>
      </c>
      <c r="S5" s="13" t="str">
        <f>IF(M3&gt;=7,"包装箱 7 数量","")</f>
        <v>包装箱 7 数量</v>
      </c>
      <c r="T5" s="13" t="str">
        <f>IF(M3&gt;=8,"包装箱 8 数量","")</f>
        <v>包装箱 8 数量</v>
      </c>
      <c r="U5" s="13" t="str">
        <f>IF(M3&gt;=9,"包装箱 9 数量","")</f>
        <v>包装箱 9 数量</v>
      </c>
      <c r="V5" s="13" t="str">
        <f>IF(M3&gt;=10,"包装箱 10 数量","")</f>
        <v>包装箱 10 数量</v>
      </c>
      <c r="W5" s="13" t="str">
        <f>IF(M3&gt;=11,"包装箱 11 数量","")</f>
        <v>包装箱 11 数量</v>
      </c>
      <c r="X5" s="13" t="str">
        <f>IF(M3&gt;=12,"包装箱 12 数量","")</f>
        <v>包装箱 12 数量</v>
      </c>
      <c r="Y5" s="13" t="str">
        <f>IF(M3&gt;=13,"包装箱 13 数量","")</f>
        <v>包装箱 13 数量</v>
      </c>
      <c r="Z5" s="13" t="str">
        <f>IF(M3&gt;=14,"包装箱 14 数量","")</f>
        <v>包装箱 14 数量</v>
      </c>
      <c r="AA5" s="13" t="str">
        <f>IF(M3&gt;=15,"包装箱 15 数量","")</f>
        <v>包装箱 15 数量</v>
      </c>
      <c r="AB5" s="13" t="str">
        <f>IF(M3&gt;=16,"包装箱 16 数量","")</f>
        <v>包装箱 16 数量</v>
      </c>
      <c r="AC5" s="13" t="str">
        <f>IF(M3&gt;=17,"包装箱 17 数量","")</f>
        <v>包装箱 17 数量</v>
      </c>
      <c r="AD5" s="13" t="str">
        <f>IF(M3&gt;=18,"包装箱 18 数量","")</f>
        <v/>
      </c>
      <c r="AE5" s="13" t="str">
        <f>IF(M3&gt;=19,"包装箱 19 数量","")</f>
        <v/>
      </c>
      <c r="AF5" s="13" t="str">
        <f>IF(M3&gt;=20,"包装箱 20 数量","")</f>
        <v/>
      </c>
      <c r="AG5" s="13" t="str">
        <f>IF(M3&gt;=21,"包装箱 21 数量","")</f>
        <v/>
      </c>
      <c r="AH5" s="13" t="str">
        <f>IF(M3&gt;=22,"包装箱 22 数量","")</f>
        <v/>
      </c>
      <c r="AI5" s="13" t="str">
        <f>IF(M3&gt;=23,"包装箱 23 数量","")</f>
        <v/>
      </c>
      <c r="AJ5" s="13" t="str">
        <f>IF(M3&gt;=24,"包装箱 24 数量","")</f>
        <v/>
      </c>
      <c r="AK5" s="13" t="str">
        <f>IF(M3&gt;=25,"包装箱 25 数量","")</f>
        <v/>
      </c>
      <c r="AL5" s="13" t="str">
        <f>IF(M3&gt;=26,"包装箱 26 数量","")</f>
        <v/>
      </c>
      <c r="AM5" s="13" t="str">
        <f>IF(M3&gt;=27,"包装箱 27 数量","")</f>
        <v/>
      </c>
    </row>
    <row r="6" spans="1:39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32</v>
      </c>
      <c r="J6">
        <v>72</v>
      </c>
      <c r="K6">
        <f>SUM(M6:INDEX(M6:XFD6,1,M3))</f>
        <v>72</v>
      </c>
      <c r="L6" s="12"/>
      <c r="M6" s="124">
        <v>6</v>
      </c>
      <c r="N6" s="124">
        <v>6</v>
      </c>
      <c r="O6" s="124">
        <v>6</v>
      </c>
      <c r="P6" s="124">
        <v>6</v>
      </c>
      <c r="Q6" s="124">
        <v>6</v>
      </c>
      <c r="R6" s="124">
        <v>6</v>
      </c>
      <c r="S6" s="124">
        <v>6</v>
      </c>
      <c r="T6" s="124">
        <v>6</v>
      </c>
      <c r="U6" s="124">
        <v>6</v>
      </c>
      <c r="V6" s="124">
        <v>6</v>
      </c>
      <c r="W6" s="124">
        <v>6</v>
      </c>
      <c r="X6" s="124">
        <v>6</v>
      </c>
      <c r="Y6" s="125">
        <v>0</v>
      </c>
      <c r="Z6" s="125">
        <v>0</v>
      </c>
      <c r="AA6" s="125">
        <v>0</v>
      </c>
      <c r="AB6" s="125">
        <v>0</v>
      </c>
      <c r="AC6" s="125">
        <v>0</v>
      </c>
    </row>
    <row r="7" spans="1:39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30</v>
      </c>
      <c r="G7" t="s">
        <v>38</v>
      </c>
      <c r="H7" t="s">
        <v>39</v>
      </c>
      <c r="I7" t="s">
        <v>32</v>
      </c>
      <c r="J7">
        <v>35</v>
      </c>
      <c r="K7">
        <f>SUM(M7:INDEX(M7:XFD7,1,M3))</f>
        <v>35</v>
      </c>
      <c r="L7" s="12"/>
      <c r="M7" s="124">
        <v>0</v>
      </c>
      <c r="N7" s="124">
        <v>0</v>
      </c>
      <c r="O7" s="124">
        <v>0</v>
      </c>
      <c r="P7" s="124">
        <v>0</v>
      </c>
      <c r="Q7" s="124">
        <v>0</v>
      </c>
      <c r="R7" s="124">
        <v>0</v>
      </c>
      <c r="S7" s="124">
        <v>0</v>
      </c>
      <c r="T7" s="124">
        <v>0</v>
      </c>
      <c r="U7" s="124">
        <v>0</v>
      </c>
      <c r="V7" s="124">
        <v>0</v>
      </c>
      <c r="W7" s="124">
        <v>0</v>
      </c>
      <c r="X7" s="124">
        <v>0</v>
      </c>
      <c r="Y7" s="125">
        <v>7</v>
      </c>
      <c r="Z7" s="125">
        <v>7</v>
      </c>
      <c r="AA7" s="125">
        <v>7</v>
      </c>
      <c r="AB7" s="125">
        <v>7</v>
      </c>
      <c r="AC7" s="125">
        <v>7</v>
      </c>
    </row>
    <row r="8" spans="1:39" x14ac:dyDescent="0.3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30</v>
      </c>
      <c r="G8" t="s">
        <v>45</v>
      </c>
      <c r="H8" t="s">
        <v>32</v>
      </c>
      <c r="I8" t="s">
        <v>32</v>
      </c>
      <c r="J8">
        <v>60</v>
      </c>
      <c r="K8">
        <f>SUM(M8:INDEX(M8:XFD8,1,M3))</f>
        <v>60</v>
      </c>
      <c r="L8" s="12"/>
      <c r="M8" s="124">
        <v>0</v>
      </c>
      <c r="N8" s="124">
        <v>0</v>
      </c>
      <c r="O8" s="124">
        <v>0</v>
      </c>
      <c r="P8" s="124">
        <v>0</v>
      </c>
      <c r="Q8" s="124">
        <v>0</v>
      </c>
      <c r="R8" s="124">
        <v>0</v>
      </c>
      <c r="S8" s="124">
        <v>0</v>
      </c>
      <c r="T8" s="124">
        <v>0</v>
      </c>
      <c r="U8" s="124">
        <v>0</v>
      </c>
      <c r="V8" s="124">
        <v>0</v>
      </c>
      <c r="W8" s="124">
        <v>0</v>
      </c>
      <c r="X8" s="124">
        <v>0</v>
      </c>
      <c r="Y8" s="125">
        <v>12</v>
      </c>
      <c r="Z8" s="125">
        <v>12</v>
      </c>
      <c r="AA8" s="125">
        <v>12</v>
      </c>
      <c r="AB8" s="125">
        <v>12</v>
      </c>
      <c r="AC8" s="125">
        <v>12</v>
      </c>
    </row>
    <row r="9" spans="1:39" x14ac:dyDescent="0.3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30</v>
      </c>
      <c r="G9" t="s">
        <v>45</v>
      </c>
      <c r="H9" t="s">
        <v>32</v>
      </c>
      <c r="I9" t="s">
        <v>32</v>
      </c>
      <c r="J9">
        <v>60</v>
      </c>
      <c r="K9">
        <f>SUM(M9:INDEX(M9:XFD9,1,M3))</f>
        <v>60</v>
      </c>
      <c r="L9" s="12"/>
      <c r="M9" s="124">
        <v>0</v>
      </c>
      <c r="N9" s="124">
        <v>0</v>
      </c>
      <c r="O9" s="124">
        <v>0</v>
      </c>
      <c r="P9" s="124">
        <v>0</v>
      </c>
      <c r="Q9" s="124">
        <v>0</v>
      </c>
      <c r="R9" s="124">
        <v>0</v>
      </c>
      <c r="S9" s="124">
        <v>0</v>
      </c>
      <c r="T9" s="124">
        <v>0</v>
      </c>
      <c r="U9" s="124">
        <v>0</v>
      </c>
      <c r="V9" s="124">
        <v>0</v>
      </c>
      <c r="W9" s="124">
        <v>0</v>
      </c>
      <c r="X9" s="124">
        <v>0</v>
      </c>
      <c r="Y9" s="126">
        <v>12</v>
      </c>
      <c r="Z9" s="126">
        <v>12</v>
      </c>
      <c r="AA9" s="126">
        <v>12</v>
      </c>
      <c r="AB9" s="126">
        <v>12</v>
      </c>
      <c r="AC9" s="126">
        <v>12</v>
      </c>
    </row>
    <row r="10" spans="1:39" x14ac:dyDescent="0.3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30</v>
      </c>
      <c r="G10" t="s">
        <v>45</v>
      </c>
      <c r="H10" t="s">
        <v>32</v>
      </c>
      <c r="I10" t="s">
        <v>32</v>
      </c>
      <c r="J10">
        <v>25</v>
      </c>
      <c r="K10">
        <f>SUM(M10:INDEX(M10:XFD10,1,M3))</f>
        <v>25</v>
      </c>
      <c r="L10" s="12"/>
      <c r="M10" s="124">
        <v>0</v>
      </c>
      <c r="N10" s="124">
        <v>0</v>
      </c>
      <c r="O10" s="124">
        <v>0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24">
        <v>0</v>
      </c>
      <c r="W10" s="124">
        <v>0</v>
      </c>
      <c r="X10" s="124">
        <v>0</v>
      </c>
      <c r="Y10" s="126">
        <v>5</v>
      </c>
      <c r="Z10" s="126">
        <v>5</v>
      </c>
      <c r="AA10" s="126">
        <v>5</v>
      </c>
      <c r="AB10" s="126">
        <v>5</v>
      </c>
      <c r="AC10" s="126">
        <v>5</v>
      </c>
    </row>
    <row r="11" spans="1:39" ht="8" customHeight="1" x14ac:dyDescent="0.3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</row>
    <row r="12" spans="1:39" ht="15.8" x14ac:dyDescent="0.45">
      <c r="A12" s="64" t="s">
        <v>56</v>
      </c>
      <c r="B12" s="65"/>
      <c r="C12" s="66"/>
      <c r="D12" s="67"/>
      <c r="E12" s="68"/>
      <c r="F12" s="69"/>
      <c r="G12" s="70"/>
      <c r="H12" s="71"/>
      <c r="I12" s="72"/>
      <c r="J12" s="73"/>
      <c r="K12" s="74"/>
      <c r="L12" s="75"/>
      <c r="M12" s="15" t="str">
        <f>IF(M3&gt;=1,"P1 - B1","")</f>
        <v>P1 - B1</v>
      </c>
      <c r="N12" s="16" t="str">
        <f>IF(M3&gt;=2,"P1 - B2","")</f>
        <v>P1 - B2</v>
      </c>
      <c r="O12" s="17" t="str">
        <f>IF(M3&gt;=3,"P1 - B3","")</f>
        <v>P1 - B3</v>
      </c>
      <c r="P12" s="18" t="str">
        <f>IF(M3&gt;=4,"P1 - B4","")</f>
        <v>P1 - B4</v>
      </c>
      <c r="Q12" s="19" t="str">
        <f>IF(M3&gt;=5,"P1 - B5","")</f>
        <v>P1 - B5</v>
      </c>
      <c r="R12" s="20" t="str">
        <f>IF(M3&gt;=6,"P1 - B6","")</f>
        <v>P1 - B6</v>
      </c>
      <c r="S12" s="21" t="str">
        <f>IF(M3&gt;=7,"P1 - B7","")</f>
        <v>P1 - B7</v>
      </c>
      <c r="T12" s="22" t="str">
        <f>IF(M3&gt;=8,"P1 - B8","")</f>
        <v>P1 - B8</v>
      </c>
      <c r="U12" s="23" t="str">
        <f>IF(M3&gt;=9,"P1 - B9","")</f>
        <v>P1 - B9</v>
      </c>
      <c r="V12" s="24" t="str">
        <f>IF(M3&gt;=10,"P1 - B10","")</f>
        <v>P1 - B10</v>
      </c>
      <c r="W12" s="25" t="str">
        <f>IF(M3&gt;=11,"P1 - B11","")</f>
        <v>P1 - B11</v>
      </c>
      <c r="X12" s="26" t="str">
        <f>IF(M3&gt;=12,"P1 - B12","")</f>
        <v>P1 - B12</v>
      </c>
      <c r="Y12" s="27" t="str">
        <f>IF(M3&gt;=13,"P1 - B13","")</f>
        <v>P1 - B13</v>
      </c>
      <c r="Z12" s="28" t="str">
        <f>IF(M3&gt;=14,"P1 - B14","")</f>
        <v>P1 - B14</v>
      </c>
      <c r="AA12" s="29" t="str">
        <f>IF(M3&gt;=15,"P1 - B15","")</f>
        <v>P1 - B15</v>
      </c>
      <c r="AB12" s="30" t="str">
        <f>IF(M3&gt;=16,"P1 - B16","")</f>
        <v>P1 - B16</v>
      </c>
      <c r="AC12" s="31" t="str">
        <f>IF(M3&gt;=17,"P1 - B17","")</f>
        <v>P1 - B17</v>
      </c>
      <c r="AD12" s="32" t="str">
        <f>IF(M3&gt;=18,"P1 - B18","")</f>
        <v/>
      </c>
      <c r="AE12" s="33" t="str">
        <f>IF(M3&gt;=19,"P1 - B19","")</f>
        <v/>
      </c>
      <c r="AF12" s="34" t="str">
        <f>IF(M3&gt;=20,"P1 - B20","")</f>
        <v/>
      </c>
      <c r="AG12" s="35" t="str">
        <f>IF(M3&gt;=21,"P1 - B21","")</f>
        <v/>
      </c>
      <c r="AH12" s="36" t="str">
        <f>IF(M3&gt;=22,"P1 - B22","")</f>
        <v/>
      </c>
      <c r="AI12" s="37" t="str">
        <f>IF(M3&gt;=23,"P1 - B23","")</f>
        <v/>
      </c>
      <c r="AJ12" s="38" t="str">
        <f>IF(M3&gt;=24,"P1 - B24","")</f>
        <v/>
      </c>
      <c r="AK12" s="39" t="str">
        <f>IF(M3&gt;=25,"P1 - B25","")</f>
        <v/>
      </c>
      <c r="AL12" s="40" t="str">
        <f>IF(M3&gt;=26,"P1 - B26","")</f>
        <v/>
      </c>
      <c r="AM12" s="41" t="str">
        <f>IF(M3&gt;=27,"P1 - B27","")</f>
        <v/>
      </c>
    </row>
    <row r="13" spans="1:39" ht="15.8" x14ac:dyDescent="0.45">
      <c r="A13" s="76" t="s">
        <v>57</v>
      </c>
      <c r="B13" s="77"/>
      <c r="C13" s="78"/>
      <c r="D13" s="79"/>
      <c r="E13" s="80"/>
      <c r="F13" s="81"/>
      <c r="G13" s="82"/>
      <c r="H13" s="83"/>
      <c r="I13" s="84"/>
      <c r="J13" s="85"/>
      <c r="K13" s="86"/>
      <c r="L13" s="87"/>
      <c r="M13" s="124">
        <v>20</v>
      </c>
      <c r="N13" s="124">
        <v>20</v>
      </c>
      <c r="O13" s="124">
        <v>20</v>
      </c>
      <c r="P13" s="124">
        <v>20</v>
      </c>
      <c r="Q13" s="124">
        <v>20</v>
      </c>
      <c r="R13" s="124">
        <v>20</v>
      </c>
      <c r="S13" s="124">
        <v>20</v>
      </c>
      <c r="T13" s="124">
        <v>20</v>
      </c>
      <c r="U13" s="124">
        <v>20</v>
      </c>
      <c r="V13" s="124">
        <v>20</v>
      </c>
      <c r="W13" s="124">
        <v>20</v>
      </c>
      <c r="X13" s="124">
        <v>20</v>
      </c>
      <c r="Y13" s="124">
        <v>25</v>
      </c>
      <c r="Z13" s="124">
        <v>25</v>
      </c>
      <c r="AA13" s="124">
        <v>25</v>
      </c>
      <c r="AB13" s="124">
        <v>25</v>
      </c>
      <c r="AC13" s="124">
        <v>25</v>
      </c>
    </row>
    <row r="14" spans="1:39" ht="15.8" x14ac:dyDescent="0.45">
      <c r="A14" s="88" t="s">
        <v>58</v>
      </c>
      <c r="B14" s="89"/>
      <c r="C14" s="90"/>
      <c r="D14" s="91"/>
      <c r="E14" s="92"/>
      <c r="F14" s="93"/>
      <c r="G14" s="94"/>
      <c r="H14" s="95"/>
      <c r="I14" s="96"/>
      <c r="J14" s="97"/>
      <c r="K14" s="98"/>
      <c r="L14" s="99"/>
      <c r="M14" s="124">
        <v>19</v>
      </c>
      <c r="N14" s="124">
        <v>19</v>
      </c>
      <c r="O14" s="124">
        <v>19</v>
      </c>
      <c r="P14" s="124">
        <v>19</v>
      </c>
      <c r="Q14" s="124">
        <v>19</v>
      </c>
      <c r="R14" s="124">
        <v>19</v>
      </c>
      <c r="S14" s="124">
        <v>19</v>
      </c>
      <c r="T14" s="124">
        <v>19</v>
      </c>
      <c r="U14" s="124">
        <v>19</v>
      </c>
      <c r="V14" s="124">
        <v>19</v>
      </c>
      <c r="W14" s="124">
        <v>19</v>
      </c>
      <c r="X14" s="124">
        <v>19</v>
      </c>
      <c r="Y14" s="124">
        <v>15</v>
      </c>
      <c r="Z14" s="124">
        <v>15</v>
      </c>
      <c r="AA14" s="124">
        <v>15</v>
      </c>
      <c r="AB14" s="124">
        <v>15</v>
      </c>
      <c r="AC14" s="124">
        <v>15</v>
      </c>
    </row>
    <row r="15" spans="1:39" ht="15.8" x14ac:dyDescent="0.45">
      <c r="A15" s="100" t="s">
        <v>59</v>
      </c>
      <c r="B15" s="101"/>
      <c r="C15" s="102"/>
      <c r="D15" s="103"/>
      <c r="E15" s="104"/>
      <c r="F15" s="105"/>
      <c r="G15" s="106"/>
      <c r="H15" s="107"/>
      <c r="I15" s="108"/>
      <c r="J15" s="109"/>
      <c r="K15" s="110"/>
      <c r="L15" s="111"/>
      <c r="M15" s="124">
        <v>13</v>
      </c>
      <c r="N15" s="124">
        <v>13</v>
      </c>
      <c r="O15" s="124">
        <v>13</v>
      </c>
      <c r="P15" s="124">
        <v>13</v>
      </c>
      <c r="Q15" s="124">
        <v>13</v>
      </c>
      <c r="R15" s="124">
        <v>13</v>
      </c>
      <c r="S15" s="124">
        <v>13</v>
      </c>
      <c r="T15" s="124">
        <v>13</v>
      </c>
      <c r="U15" s="124">
        <v>13</v>
      </c>
      <c r="V15" s="124">
        <v>13</v>
      </c>
      <c r="W15" s="124">
        <v>13</v>
      </c>
      <c r="X15" s="124">
        <v>13</v>
      </c>
      <c r="Y15" s="124">
        <v>13</v>
      </c>
      <c r="Z15" s="124">
        <v>13</v>
      </c>
      <c r="AA15" s="124">
        <v>13</v>
      </c>
      <c r="AB15" s="124">
        <v>13</v>
      </c>
      <c r="AC15" s="124">
        <v>13</v>
      </c>
    </row>
    <row r="16" spans="1:39" ht="15.8" x14ac:dyDescent="0.45">
      <c r="A16" s="112" t="s">
        <v>60</v>
      </c>
      <c r="B16" s="113"/>
      <c r="C16" s="114"/>
      <c r="D16" s="115"/>
      <c r="E16" s="116"/>
      <c r="F16" s="117"/>
      <c r="G16" s="118"/>
      <c r="H16" s="119"/>
      <c r="I16" s="120"/>
      <c r="J16" s="121"/>
      <c r="K16" s="122"/>
      <c r="L16" s="123"/>
      <c r="M16" s="124">
        <v>18</v>
      </c>
      <c r="N16" s="124">
        <v>18</v>
      </c>
      <c r="O16" s="124">
        <v>18</v>
      </c>
      <c r="P16" s="124">
        <v>18</v>
      </c>
      <c r="Q16" s="124">
        <v>18</v>
      </c>
      <c r="R16" s="124">
        <v>18</v>
      </c>
      <c r="S16" s="124">
        <v>18</v>
      </c>
      <c r="T16" s="124">
        <v>18</v>
      </c>
      <c r="U16" s="124">
        <v>18</v>
      </c>
      <c r="V16" s="124">
        <v>18</v>
      </c>
      <c r="W16" s="124">
        <v>18</v>
      </c>
      <c r="X16" s="124">
        <v>18</v>
      </c>
      <c r="Y16" s="124">
        <v>18</v>
      </c>
      <c r="Z16" s="124">
        <v>18</v>
      </c>
      <c r="AA16" s="124">
        <v>18</v>
      </c>
      <c r="AB16" s="124">
        <v>18</v>
      </c>
      <c r="AC16" s="124">
        <v>18</v>
      </c>
    </row>
    <row r="17" spans="1:39" ht="8" customHeight="1" x14ac:dyDescent="0.3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</row>
  </sheetData>
  <sheetProtection password="DFB5" sheet="1" objects="1" scenarios="1" formatCells="0" formatColumns="0" formatRows="0"/>
  <mergeCells count="12">
    <mergeCell ref="A16:L16"/>
    <mergeCell ref="A17:AM17"/>
    <mergeCell ref="A11:AM11"/>
    <mergeCell ref="A12:L12"/>
    <mergeCell ref="A13:L13"/>
    <mergeCell ref="A14:L14"/>
    <mergeCell ref="A15:L15"/>
    <mergeCell ref="A1:L1"/>
    <mergeCell ref="A2:B2"/>
    <mergeCell ref="A3:C3"/>
    <mergeCell ref="I3:L3"/>
    <mergeCell ref="A4:L4"/>
  </mergeCells>
  <phoneticPr fontId="121" type="noConversion"/>
  <conditionalFormatting sqref="K6:K10">
    <cfRule type="expression" dxfId="0" priority="1">
      <formula>OR((J6 &lt;&gt; K6), (INT(J6) &lt;&gt; J6))</formula>
    </cfRule>
  </conditionalFormatting>
  <dataValidations count="3">
    <dataValidation type="whole" allowBlank="1" showErrorMessage="1" errorTitle="验证错误" error="输入介于 1 和 27 之间的整数" sqref="M3" xr:uid="{00000000-0002-0000-0100-000000000000}">
      <formula1>1</formula1>
      <formula2>27</formula2>
    </dataValidation>
    <dataValidation type="whole" operator="greaterThanOrEqual" allowBlank="1" showErrorMessage="1" errorTitle="验证错误" error="请输入大于或等于 0 的整数" sqref="M6:M11 N6:N11 O6:O11 P6:P11 Q6:Q11 R6:R11 S6:S11 T6:T11 U6:U11 V6:V11 W6:W11 X6:X11 Z11 AA11 AB11 AC11 AM6:AM11 AD6:AD11 AE6:AE11 AF6:AF11 AG6:AG11 AH6:AH11 AI6:AI11 AJ6:AJ11 AK6:AK11 AL6:AL11 Y11" xr:uid="{00000000-0002-0000-0100-000001000000}">
      <formula1>0</formula1>
    </dataValidation>
    <dataValidation type="decimal" operator="greaterThan" allowBlank="1" showErrorMessage="1" errorTitle="验证错误" error="请输入大于 0 的数字" sqref="M13:M16 N13:N16 O13:O16 P13:P16 Q13:Q16 R13:R16 S13:S16 T13:T16 U13:U16 V13:V16 W13:W16 X13:X16 Y13:Y16 Z13:Z16 AA13:AA16 AB13:AB16 AC13:AC16 AD13:AD16 AE13:AE16 AF13:AF16 AG13:AG16 AH13:AH16 AI13:AI16 AJ13:AJ16 AK13:AK16 AL13:AL16 AM13:AM16" xr:uid="{00000000-0002-0000-0100-000002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1" x14ac:dyDescent="0.35"/>
  <cols>
    <col min="1" max="2" width="25" customWidth="1"/>
  </cols>
  <sheetData>
    <row r="1" spans="1:2" x14ac:dyDescent="0.35">
      <c r="A1" s="10" t="s">
        <v>61</v>
      </c>
      <c r="B1" s="10" t="s">
        <v>62</v>
      </c>
    </row>
    <row r="2" spans="1:2" x14ac:dyDescent="0.35">
      <c r="A2" s="10" t="s">
        <v>63</v>
      </c>
      <c r="B2" s="10" t="s">
        <v>64</v>
      </c>
    </row>
    <row r="3" spans="1:2" x14ac:dyDescent="0.35">
      <c r="A3" s="10" t="s">
        <v>65</v>
      </c>
      <c r="B3" s="10" t="s">
        <v>66</v>
      </c>
    </row>
    <row r="4" spans="1:2" x14ac:dyDescent="0.35">
      <c r="A4" s="10" t="s">
        <v>67</v>
      </c>
      <c r="B4" s="10" t="s">
        <v>68</v>
      </c>
    </row>
    <row r="5" spans="1:2" x14ac:dyDescent="0.35">
      <c r="A5" s="10" t="s">
        <v>69</v>
      </c>
      <c r="B5" s="10">
        <v>1</v>
      </c>
    </row>
  </sheetData>
  <sheetProtection password="DFB5" sheet="1" objects="1" scenarios="1"/>
  <phoneticPr fontId="1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包装箱包装信息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Huang Hans</cp:lastModifiedBy>
  <dcterms:created xsi:type="dcterms:W3CDTF">2026-04-27T12:17:53Z</dcterms:created>
  <dcterms:modified xsi:type="dcterms:W3CDTF">2026-04-27T12:21:25Z</dcterms:modified>
</cp:coreProperties>
</file>